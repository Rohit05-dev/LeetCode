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hit\Desktop\DSA\LeetCode\"/>
    </mc:Choice>
  </mc:AlternateContent>
  <xr:revisionPtr revIDLastSave="0" documentId="13_ncr:1_{5250C9DE-46A2-44B6-BA2F-468EC4A5345E}" xr6:coauthVersionLast="47" xr6:coauthVersionMax="47" xr10:uidLastSave="{00000000-0000-0000-0000-000000000000}"/>
  <bookViews>
    <workbookView xWindow="-98" yWindow="-98" windowWidth="21795" windowHeight="11625" tabRatio="500" xr2:uid="{00000000-000D-0000-FFFF-FFFF00000000}"/>
  </bookViews>
  <sheets>
    <sheet name="Log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2" l="1"/>
  <c r="B11" i="2"/>
  <c r="B10" i="2"/>
  <c r="B9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<sst xmlns="http://schemas.openxmlformats.org/spreadsheetml/2006/main" count="37" uniqueCount="33">
  <si>
    <t>Date Solved</t>
  </si>
  <si>
    <t>Problem #</t>
  </si>
  <si>
    <t>Problem Name</t>
  </si>
  <si>
    <t>Difficulty</t>
  </si>
  <si>
    <t>Topic/Tags</t>
  </si>
  <si>
    <t>Status</t>
  </si>
  <si>
    <t>Language</t>
  </si>
  <si>
    <t>Time Taken (min)</t>
  </si>
  <si>
    <t>Attempts</t>
  </si>
  <si>
    <t>Solution Link</t>
  </si>
  <si>
    <t>Notes</t>
  </si>
  <si>
    <t>2026-07-30</t>
  </si>
  <si>
    <t>1</t>
  </si>
  <si>
    <t>Two Sum</t>
  </si>
  <si>
    <t>Easy</t>
  </si>
  <si>
    <t>Array, Hash Map</t>
  </si>
  <si>
    <t>Solved</t>
  </si>
  <si>
    <t>Used a hash map for O(n); revisit for O(1) space follow-up</t>
  </si>
  <si>
    <t>LeetCode Progress Summary</t>
  </si>
  <si>
    <t>Total Problems Logged</t>
  </si>
  <si>
    <t>Attempted (not yet solved)</t>
  </si>
  <si>
    <t>To Revisit</t>
  </si>
  <si>
    <t>Bookmarked</t>
  </si>
  <si>
    <t>Easy Solved</t>
  </si>
  <si>
    <t>Medium Solved</t>
  </si>
  <si>
    <t>Hard Solved</t>
  </si>
  <si>
    <t>Avg Time per Solve (min)</t>
  </si>
  <si>
    <t>Contains Duplicate</t>
  </si>
  <si>
    <t>Array, Hash Map, Sorting</t>
  </si>
  <si>
    <t>Java</t>
  </si>
  <si>
    <t>https://github.com/Rohit05-dev/LeetCode/tree/main/Easy/0001-two-sum</t>
  </si>
  <si>
    <t>https://github.com/Rohit05-dev/LeetCode/tree/main/Easy/0217-contains-duplicate</t>
  </si>
  <si>
    <t>Use HashSet for O(n) time; if add() returns false, duplicate found. Revisit sorting approach for O(1) extra space.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</si>
</sst>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0"/>
      <color theme="1"/>
      <name val="Arial"/>
      <family val="2"/>
    </font>
    <font>
      <u/>
      <sz val="11"/>
      <color theme="10"/>
      <name val="Calibri"/>
      <family val="2"/>
      <charset val="1"/>
    </font>
    <font>
      <i/>
      <sz val="11"/>
      <color theme="1"/>
      <name val="Calibri"/>
      <family val="2"/>
      <charset val="1"/>
    </font>
    <font>
      <i/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1" xfId="1" applyBorder="1" applyAlignment="1">
      <alignment vertical="center" wrapText="1"/>
    </xf>
    <xf numFmtId="0" fontId="2" fillId="0" borderId="0" xfId="0" applyFont="1"/>
    <xf numFmtId="14" fontId="5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Rohit05-dev/LeetCode/tree/main/Easy/0217-contains-duplicate" TargetMode="External"/><Relationship Id="rId1" Type="http://schemas.openxmlformats.org/officeDocument/2006/relationships/hyperlink" Target="https://github.com/Rohit05-dev/LeetCode/tree/main/Easy/0001-two-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zoomScale="72" zoomScaleNormal="100" workbookViewId="0">
      <pane ySplit="1" topLeftCell="A2" activePane="bottomLeft" state="frozen"/>
      <selection pane="bottomLeft" activeCell="B3" sqref="B3"/>
    </sheetView>
  </sheetViews>
  <sheetFormatPr defaultColWidth="8.6640625" defaultRowHeight="14.25" x14ac:dyDescent="0.45"/>
  <cols>
    <col min="1" max="1" width="13" customWidth="1"/>
    <col min="2" max="2" width="11" customWidth="1"/>
    <col min="3" max="3" width="28" customWidth="1"/>
    <col min="4" max="4" width="12" customWidth="1"/>
    <col min="5" max="5" width="22" customWidth="1"/>
    <col min="6" max="7" width="12" customWidth="1"/>
    <col min="8" max="8" width="15" customWidth="1"/>
    <col min="9" max="9" width="10" customWidth="1"/>
    <col min="10" max="10" width="67.6640625" customWidth="1"/>
    <col min="11" max="11" width="30" customWidth="1"/>
  </cols>
  <sheetData>
    <row r="1" spans="1:11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25" customHeight="1" x14ac:dyDescent="0.4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29</v>
      </c>
      <c r="H2" s="5">
        <v>30</v>
      </c>
      <c r="I2" s="5">
        <v>1</v>
      </c>
      <c r="J2" s="6" t="s">
        <v>30</v>
      </c>
      <c r="K2" s="5" t="s">
        <v>17</v>
      </c>
    </row>
    <row r="3" spans="1:11" s="11" customFormat="1" ht="37.5" customHeight="1" x14ac:dyDescent="0.45">
      <c r="A3" s="8">
        <v>46234</v>
      </c>
      <c r="B3" s="12">
        <v>217</v>
      </c>
      <c r="C3" s="9" t="s">
        <v>27</v>
      </c>
      <c r="D3" s="9" t="s">
        <v>14</v>
      </c>
      <c r="E3" s="9" t="s">
        <v>28</v>
      </c>
      <c r="F3" s="9" t="s">
        <v>16</v>
      </c>
      <c r="G3" s="9" t="s">
        <v>29</v>
      </c>
      <c r="H3" s="9">
        <v>10</v>
      </c>
      <c r="I3" s="9">
        <v>1</v>
      </c>
      <c r="J3" s="10" t="s">
        <v>31</v>
      </c>
      <c r="K3" s="9" t="s">
        <v>32</v>
      </c>
    </row>
    <row r="4" spans="1:11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dataValidations count="2">
    <dataValidation type="list" allowBlank="1" sqref="D2:D500" xr:uid="{00000000-0002-0000-0000-000000000000}">
      <formula1>"Easy,Medium,Hard"</formula1>
      <formula2>0</formula2>
    </dataValidation>
    <dataValidation type="list" allowBlank="1" sqref="F2:F500" xr:uid="{00000000-0002-0000-0000-000001000000}">
      <formula1>"Solved,Attempted,Revisit,Bookmarked"</formula1>
      <formula2>0</formula2>
    </dataValidation>
  </dataValidations>
  <hyperlinks>
    <hyperlink ref="J2" r:id="rId1" xr:uid="{01075417-E057-4E2A-9272-F4AF829BDE5C}"/>
    <hyperlink ref="J3" r:id="rId2" xr:uid="{E9EA82FC-3AD9-443E-99C0-0E13925C7506}"/>
  </hyperlinks>
  <pageMargins left="0.75" right="0.75" top="1" bottom="1" header="0.511811023622047" footer="0.511811023622047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Normal="100" workbookViewId="0"/>
  </sheetViews>
  <sheetFormatPr defaultColWidth="8.6640625" defaultRowHeight="14.25" x14ac:dyDescent="0.45"/>
  <cols>
    <col min="1" max="1" width="30" customWidth="1"/>
    <col min="2" max="2" width="14" customWidth="1"/>
  </cols>
  <sheetData>
    <row r="1" spans="1:3" ht="17.649999999999999" x14ac:dyDescent="0.5">
      <c r="A1" s="7" t="s">
        <v>18</v>
      </c>
      <c r="B1" s="7"/>
      <c r="C1" s="7"/>
    </row>
    <row r="3" spans="1:3" x14ac:dyDescent="0.45">
      <c r="A3" s="3" t="s">
        <v>19</v>
      </c>
      <c r="B3" s="4">
        <f>COUNTA(Log!C2:C500)</f>
        <v>2</v>
      </c>
    </row>
    <row r="4" spans="1:3" x14ac:dyDescent="0.45">
      <c r="A4" s="3" t="s">
        <v>16</v>
      </c>
      <c r="B4" s="4">
        <f>COUNTIF(Log!F2:F500,"Solved")</f>
        <v>2</v>
      </c>
    </row>
    <row r="5" spans="1:3" x14ac:dyDescent="0.45">
      <c r="A5" s="3" t="s">
        <v>20</v>
      </c>
      <c r="B5" s="4">
        <f>COUNTIF(Log!F2:F500,"Attempted")</f>
        <v>0</v>
      </c>
    </row>
    <row r="6" spans="1:3" x14ac:dyDescent="0.45">
      <c r="A6" s="3" t="s">
        <v>21</v>
      </c>
      <c r="B6" s="4">
        <f>COUNTIF(Log!F2:F500,"Revisit")</f>
        <v>0</v>
      </c>
    </row>
    <row r="7" spans="1:3" x14ac:dyDescent="0.45">
      <c r="A7" s="3" t="s">
        <v>22</v>
      </c>
      <c r="B7" s="4">
        <f>COUNTIF(Log!F2:F500,"Bookmarked")</f>
        <v>0</v>
      </c>
    </row>
    <row r="9" spans="1:3" x14ac:dyDescent="0.45">
      <c r="A9" s="3" t="s">
        <v>23</v>
      </c>
      <c r="B9" s="4">
        <f>COUNTIFS(Log!D2:D500,"Easy",Log!F2:F500,"Solved")</f>
        <v>2</v>
      </c>
    </row>
    <row r="10" spans="1:3" x14ac:dyDescent="0.45">
      <c r="A10" s="3" t="s">
        <v>24</v>
      </c>
      <c r="B10" s="4">
        <f>COUNTIFS(Log!D2:D500,"Medium",Log!F2:F500,"Solved")</f>
        <v>0</v>
      </c>
    </row>
    <row r="11" spans="1:3" x14ac:dyDescent="0.45">
      <c r="A11" s="3" t="s">
        <v>25</v>
      </c>
      <c r="B11" s="4">
        <f>COUNTIFS(Log!D2:D500,"Hard",Log!F2:F500,"Solved")</f>
        <v>0</v>
      </c>
    </row>
    <row r="13" spans="1:3" x14ac:dyDescent="0.45">
      <c r="A13" s="3" t="s">
        <v>26</v>
      </c>
      <c r="B13" s="4">
        <f>IFERROR(ROUND(AVERAGEIF(Log!F2:F500,"Solved",Log!H2:H500),1),0)</f>
        <v>20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 Goswami</cp:lastModifiedBy>
  <cp:revision>0</cp:revision>
  <dcterms:created xsi:type="dcterms:W3CDTF">2026-07-30T05:56:16Z</dcterms:created>
  <dcterms:modified xsi:type="dcterms:W3CDTF">2026-07-31T15:11:40Z</dcterms:modified>
  <dc:language>en-US</dc:language>
</cp:coreProperties>
</file>