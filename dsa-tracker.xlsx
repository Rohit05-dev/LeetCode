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<sst xmlns="http://schemas.openxmlformats.org/spreadsheetml/2006/main" count="436" uniqueCount="135">
  <si>
    <t xml:space="preserve">No.</t>
  </si>
  <si>
    <t xml:space="preserve">LeetCode #</t>
  </si>
  <si>
    <t xml:space="preserve">Topic</t>
  </si>
  <si>
    <t xml:space="preserve">Problem</t>
  </si>
  <si>
    <t xml:space="preserve">Difficulty</t>
  </si>
  <si>
    <t xml:space="preserve">Solved</t>
  </si>
  <si>
    <t xml:space="preserve">Notes</t>
  </si>
  <si>
    <t xml:space="preserve">Arrays &amp; Hashing</t>
  </si>
  <si>
    <t xml:space="preserve">Two Sum</t>
  </si>
  <si>
    <t xml:space="preserve">Easy</t>
  </si>
  <si>
    <t xml:space="preserve">Yes</t>
  </si>
  <si>
    <t xml:space="preserve">Contains Duplicate</t>
  </si>
  <si>
    <t xml:space="preserve">Valid Anagram</t>
  </si>
  <si>
    <t xml:space="preserve">Best Time to Buy and Sell Stock</t>
  </si>
  <si>
    <t xml:space="preserve">Majority Element</t>
  </si>
  <si>
    <t xml:space="preserve">No</t>
  </si>
  <si>
    <t xml:space="preserve">Find Missing Elements</t>
  </si>
  <si>
    <t xml:space="preserve">Group Anagrams</t>
  </si>
  <si>
    <t xml:space="preserve">Medium</t>
  </si>
  <si>
    <t xml:space="preserve">Top K Frequent Elements</t>
  </si>
  <si>
    <t xml:space="preserve">Product of Array Except Self</t>
  </si>
  <si>
    <t xml:space="preserve">Encode and Decode Strings</t>
  </si>
  <si>
    <t xml:space="preserve">Longest Consecutive Sequence</t>
  </si>
  <si>
    <t xml:space="preserve">Spiral Matrix</t>
  </si>
  <si>
    <t xml:space="preserve">Rotate Array</t>
  </si>
  <si>
    <t xml:space="preserve">First Missing Positive</t>
  </si>
  <si>
    <t xml:space="preserve">Hard</t>
  </si>
  <si>
    <t xml:space="preserve">Two Pointers</t>
  </si>
  <si>
    <t xml:space="preserve">Valid Palindrome</t>
  </si>
  <si>
    <t xml:space="preserve">Merge Sorted Array</t>
  </si>
  <si>
    <t xml:space="preserve">Two Sum II</t>
  </si>
  <si>
    <t xml:space="preserve">3Sum</t>
  </si>
  <si>
    <t xml:space="preserve">Container With Most Water</t>
  </si>
  <si>
    <t xml:space="preserve">Trapping Rain Water</t>
  </si>
  <si>
    <t xml:space="preserve">Sliding Window</t>
  </si>
  <si>
    <t xml:space="preserve">Maximum Average Subarray I</t>
  </si>
  <si>
    <t xml:space="preserve">Longest Substring Without Repeating Characters</t>
  </si>
  <si>
    <t xml:space="preserve">Longest Repeating Character Replacement</t>
  </si>
  <si>
    <t xml:space="preserve">Permutation in String</t>
  </si>
  <si>
    <t xml:space="preserve">Minimum Size Subarray Sum</t>
  </si>
  <si>
    <t xml:space="preserve">Sliding Window Maximum</t>
  </si>
  <si>
    <t xml:space="preserve">Minimum Window Substring</t>
  </si>
  <si>
    <t xml:space="preserve">Stack</t>
  </si>
  <si>
    <t xml:space="preserve">Valid Parentheses</t>
  </si>
  <si>
    <t xml:space="preserve">Baseball Game</t>
  </si>
  <si>
    <t xml:space="preserve">Evaluate Reverse Polish Notation</t>
  </si>
  <si>
    <t xml:space="preserve">Daily Temperatures</t>
  </si>
  <si>
    <t xml:space="preserve">Generate Parentheses</t>
  </si>
  <si>
    <t xml:space="preserve">Min Stack</t>
  </si>
  <si>
    <t xml:space="preserve">Largest Rectangle in Histogram</t>
  </si>
  <si>
    <t xml:space="preserve">Binary Search</t>
  </si>
  <si>
    <t xml:space="preserve">First Bad Version</t>
  </si>
  <si>
    <t xml:space="preserve">Search in Rotated Sorted Array</t>
  </si>
  <si>
    <t xml:space="preserve">Find Minimum in Rotated Sorted Array</t>
  </si>
  <si>
    <t xml:space="preserve">Koko Eating Bananas</t>
  </si>
  <si>
    <t xml:space="preserve">Median of Two Sorted Arrays</t>
  </si>
  <si>
    <t xml:space="preserve">Linked List</t>
  </si>
  <si>
    <t xml:space="preserve">Reverse Linked List</t>
  </si>
  <si>
    <t xml:space="preserve">Merge Two Sorted Lists</t>
  </si>
  <si>
    <t xml:space="preserve">Linked List Cycle</t>
  </si>
  <si>
    <t xml:space="preserve">Reorder List</t>
  </si>
  <si>
    <t xml:space="preserve">Remove Nth Node From End of List</t>
  </si>
  <si>
    <t xml:space="preserve">Add Two Numbers</t>
  </si>
  <si>
    <t xml:space="preserve">Copy List with Random Pointer</t>
  </si>
  <si>
    <t xml:space="preserve">Merge k Sorted Lists</t>
  </si>
  <si>
    <t xml:space="preserve">Reverse Nodes in k-Group</t>
  </si>
  <si>
    <t xml:space="preserve">Trees</t>
  </si>
  <si>
    <t xml:space="preserve">Invert Binary Tree</t>
  </si>
  <si>
    <t xml:space="preserve">Maximum Depth of Binary Tree</t>
  </si>
  <si>
    <t xml:space="preserve">Same Tree</t>
  </si>
  <si>
    <t xml:space="preserve">Subtree of Another Tree</t>
  </si>
  <si>
    <t xml:space="preserve">Binary Tree Level Order Traversal</t>
  </si>
  <si>
    <t xml:space="preserve">Validate Binary Search Tree</t>
  </si>
  <si>
    <t xml:space="preserve">Kth Smallest Element in a BST</t>
  </si>
  <si>
    <t xml:space="preserve">Lowest Common Ancestor of a BST</t>
  </si>
  <si>
    <t xml:space="preserve">Construct Binary Tree from Preorder and Inorder Traversal</t>
  </si>
  <si>
    <t xml:space="preserve">Binary Tree Maximum Path Sum</t>
  </si>
  <si>
    <t xml:space="preserve">Serialize and Deserialize Binary Tree</t>
  </si>
  <si>
    <t xml:space="preserve">Heap / Priority Queue</t>
  </si>
  <si>
    <t xml:space="preserve">Kth Largest Element in a Stream</t>
  </si>
  <si>
    <t xml:space="preserve">Last Stone Weight</t>
  </si>
  <si>
    <t xml:space="preserve">K Closest Points to Origin</t>
  </si>
  <si>
    <t xml:space="preserve">Kth Largest Element in an Array</t>
  </si>
  <si>
    <t xml:space="preserve">Task Scheduler</t>
  </si>
  <si>
    <t xml:space="preserve">Find Median from Data Stream</t>
  </si>
  <si>
    <t xml:space="preserve">Sliding Window Median</t>
  </si>
  <si>
    <t xml:space="preserve">Backtracking</t>
  </si>
  <si>
    <t xml:space="preserve">Subsets</t>
  </si>
  <si>
    <t xml:space="preserve">Combination Sum</t>
  </si>
  <si>
    <t xml:space="preserve">Permutations</t>
  </si>
  <si>
    <t xml:space="preserve">Word Search</t>
  </si>
  <si>
    <t xml:space="preserve">Palindrome Partitioning</t>
  </si>
  <si>
    <t xml:space="preserve">N-Queens</t>
  </si>
  <si>
    <t xml:space="preserve">Graphs</t>
  </si>
  <si>
    <t xml:space="preserve">Flood Fill</t>
  </si>
  <si>
    <t xml:space="preserve">Number of Islands</t>
  </si>
  <si>
    <t xml:space="preserve">Clone Graph</t>
  </si>
  <si>
    <t xml:space="preserve">Course Schedule</t>
  </si>
  <si>
    <t xml:space="preserve">Pacific Atlantic Water Flow</t>
  </si>
  <si>
    <t xml:space="preserve">Rotting Oranges</t>
  </si>
  <si>
    <t xml:space="preserve">Word Ladder</t>
  </si>
  <si>
    <t xml:space="preserve">Alien Dictionary</t>
  </si>
  <si>
    <t xml:space="preserve">DP (1-D)</t>
  </si>
  <si>
    <t xml:space="preserve">Climbing Stairs</t>
  </si>
  <si>
    <t xml:space="preserve">House Robber</t>
  </si>
  <si>
    <t xml:space="preserve">House Robber II</t>
  </si>
  <si>
    <t xml:space="preserve">Longest Increasing Subsequence</t>
  </si>
  <si>
    <t xml:space="preserve">Coin Change</t>
  </si>
  <si>
    <t xml:space="preserve">Word Break</t>
  </si>
  <si>
    <t xml:space="preserve">Decode Ways</t>
  </si>
  <si>
    <t xml:space="preserve">Palindrome Partitioning II</t>
  </si>
  <si>
    <t xml:space="preserve">DP (2-D)</t>
  </si>
  <si>
    <t xml:space="preserve">Unique Paths</t>
  </si>
  <si>
    <t xml:space="preserve">Longest Common Subsequence</t>
  </si>
  <si>
    <t xml:space="preserve">Edit Distance</t>
  </si>
  <si>
    <t xml:space="preserve">Distinct Subsequences</t>
  </si>
  <si>
    <t xml:space="preserve">Greedy</t>
  </si>
  <si>
    <t xml:space="preserve">Maximum Subarray</t>
  </si>
  <si>
    <t xml:space="preserve">Jump Game</t>
  </si>
  <si>
    <t xml:space="preserve">Gas Station</t>
  </si>
  <si>
    <t xml:space="preserve">Candy</t>
  </si>
  <si>
    <t xml:space="preserve">Intervals</t>
  </si>
  <si>
    <t xml:space="preserve">Insert Interval</t>
  </si>
  <si>
    <t xml:space="preserve">Merge Intervals</t>
  </si>
  <si>
    <t xml:space="preserve">Non-overlapping Intervals</t>
  </si>
  <si>
    <t xml:space="preserve">Bit Manipulation</t>
  </si>
  <si>
    <t xml:space="preserve">Number of 1 Bits</t>
  </si>
  <si>
    <t xml:space="preserve">Counting Bits</t>
  </si>
  <si>
    <t xml:space="preserve">Missing Number</t>
  </si>
  <si>
    <t xml:space="preserve">Maximum XOR of Two Numbers in an Array</t>
  </si>
  <si>
    <t xml:space="preserve">Math</t>
  </si>
  <si>
    <t xml:space="preserve">Smallest Divisible Digit Product I</t>
  </si>
  <si>
    <t xml:space="preserve">DSA Progress Summary</t>
  </si>
  <si>
    <t xml:space="preserve">Total</t>
  </si>
  <si>
    <t xml:space="preserve">%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</si>
</sst>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E7A34"/>
      <name val="Arial"/>
      <family val="0"/>
      <charset val="1"/>
    </font>
    <font>
      <sz val="10"/>
      <color rgb="FFB06D00"/>
      <name val="Arial"/>
      <family val="0"/>
      <charset val="1"/>
    </font>
    <font>
      <sz val="10"/>
      <color rgb="FFC5221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6F4EA"/>
        <bgColor rgb="FFF2F2F2"/>
      </patternFill>
    </fill>
    <fill>
      <patternFill patternType="solid">
        <fgColor rgb="FFD9F2E3"/>
        <bgColor rgb="FFE6F4EA"/>
      </patternFill>
    </fill>
    <fill>
      <patternFill patternType="solid">
        <fgColor rgb="FFF2F2F2"/>
        <bgColor rgb="FFE6F4EA"/>
      </patternFill>
    </fill>
    <fill>
      <patternFill patternType="solid">
        <fgColor rgb="FFFEF3E2"/>
        <bgColor rgb="FFF2F2F2"/>
      </patternFill>
    </fill>
    <fill>
      <patternFill patternType="solid">
        <fgColor rgb="FFFCE8E6"/>
        <bgColor rgb="FFFEF3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B06D00"/>
      <rgbColor rgb="FF800080"/>
      <rgbColor rgb="FF008080"/>
      <rgbColor rgb="FFC0C0C0"/>
      <rgbColor rgb="FF808080"/>
      <rgbColor rgb="FF9999FF"/>
      <rgbColor rgb="FF993366"/>
      <rgbColor rgb="FFFEF3E2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2E3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5221F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8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3" t="n">
        <v>1</v>
      </c>
      <c r="C2" s="3" t="s">
        <v>7</v>
      </c>
      <c r="D2" s="3" t="s">
        <v>8</v>
      </c>
      <c r="E2" s="4" t="s">
        <v>9</v>
      </c>
      <c r="F2" s="5" t="s">
        <v>10</v>
      </c>
      <c r="G2" s="3"/>
    </row>
    <row r="3" customFormat="false" ht="15" hidden="false" customHeight="true" outlineLevel="0" collapsed="false">
      <c r="A3" s="3" t="n">
        <v>2</v>
      </c>
      <c r="B3" s="3" t="n">
        <v>217</v>
      </c>
      <c r="C3" s="3" t="s">
        <v>7</v>
      </c>
      <c r="D3" s="3" t="s">
        <v>11</v>
      </c>
      <c r="E3" s="4" t="s">
        <v>9</v>
      </c>
      <c r="F3" s="5" t="s">
        <v>10</v>
      </c>
      <c r="G3" s="3"/>
    </row>
    <row r="4" customFormat="false" ht="15" hidden="false" customHeight="true" outlineLevel="0" collapsed="false">
      <c r="A4" s="3" t="n">
        <v>3</v>
      </c>
      <c r="B4" s="3" t="n">
        <v>242</v>
      </c>
      <c r="C4" s="3" t="s">
        <v>7</v>
      </c>
      <c r="D4" s="3" t="s">
        <v>12</v>
      </c>
      <c r="E4" s="4" t="s">
        <v>9</v>
      </c>
      <c r="F4" s="5" t="s">
        <v>10</v>
      </c>
      <c r="G4" s="3"/>
    </row>
    <row r="5" customFormat="false" ht="15" hidden="false" customHeight="true" outlineLevel="0" collapsed="false">
      <c r="A5" s="3" t="n">
        <v>4</v>
      </c>
      <c r="B5" s="3" t="n">
        <v>121</v>
      </c>
      <c r="C5" s="3" t="s">
        <v>7</v>
      </c>
      <c r="D5" s="3" t="s">
        <v>13</v>
      </c>
      <c r="E5" s="4" t="s">
        <v>9</v>
      </c>
      <c r="F5" s="5" t="s">
        <v>10</v>
      </c>
      <c r="G5" s="3"/>
    </row>
    <row r="6" customFormat="false" ht="15" hidden="false" customHeight="true" outlineLevel="0" collapsed="false">
      <c r="A6" s="3" t="n">
        <v>5</v>
      </c>
      <c r="B6" s="3" t="n">
        <v>169</v>
      </c>
      <c r="C6" s="3" t="s">
        <v>7</v>
      </c>
      <c r="D6" s="3" t="s">
        <v>14</v>
      </c>
      <c r="E6" s="4" t="s">
        <v>9</v>
      </c>
      <c r="F6" s="6" t="s">
        <v>15</v>
      </c>
      <c r="G6" s="3"/>
    </row>
    <row r="7" customFormat="false" ht="15" hidden="false" customHeight="true" outlineLevel="0" collapsed="false">
      <c r="A7" s="3" t="n">
        <v>6</v>
      </c>
      <c r="B7" s="3" t="n">
        <v>3731</v>
      </c>
      <c r="C7" s="3" t="s">
        <v>7</v>
      </c>
      <c r="D7" s="3" t="s">
        <v>16</v>
      </c>
      <c r="E7" s="4" t="s">
        <v>9</v>
      </c>
      <c r="F7" s="5" t="s">
        <v>10</v>
      </c>
      <c r="G7" s="3"/>
    </row>
    <row r="8" customFormat="false" ht="15" hidden="false" customHeight="true" outlineLevel="0" collapsed="false">
      <c r="A8" s="3" t="n">
        <v>7</v>
      </c>
      <c r="B8" s="3" t="n">
        <v>49</v>
      </c>
      <c r="C8" s="3" t="s">
        <v>7</v>
      </c>
      <c r="D8" s="3" t="s">
        <v>17</v>
      </c>
      <c r="E8" s="7" t="s">
        <v>18</v>
      </c>
      <c r="F8" s="6" t="s">
        <v>15</v>
      </c>
      <c r="G8" s="3"/>
    </row>
    <row r="9" customFormat="false" ht="15" hidden="false" customHeight="true" outlineLevel="0" collapsed="false">
      <c r="A9" s="3" t="n">
        <v>8</v>
      </c>
      <c r="B9" s="3" t="n">
        <v>347</v>
      </c>
      <c r="C9" s="3" t="s">
        <v>7</v>
      </c>
      <c r="D9" s="3" t="s">
        <v>19</v>
      </c>
      <c r="E9" s="7" t="s">
        <v>18</v>
      </c>
      <c r="F9" s="6" t="s">
        <v>15</v>
      </c>
      <c r="G9" s="3"/>
    </row>
    <row r="10" customFormat="false" ht="15" hidden="false" customHeight="true" outlineLevel="0" collapsed="false">
      <c r="A10" s="3" t="n">
        <v>9</v>
      </c>
      <c r="B10" s="3" t="n">
        <v>238</v>
      </c>
      <c r="C10" s="3" t="s">
        <v>7</v>
      </c>
      <c r="D10" s="3" t="s">
        <v>20</v>
      </c>
      <c r="E10" s="7" t="s">
        <v>18</v>
      </c>
      <c r="F10" s="6" t="s">
        <v>15</v>
      </c>
      <c r="G10" s="3"/>
    </row>
    <row r="11" customFormat="false" ht="15" hidden="false" customHeight="true" outlineLevel="0" collapsed="false">
      <c r="A11" s="3" t="n">
        <v>10</v>
      </c>
      <c r="B11" s="3" t="n">
        <v>271</v>
      </c>
      <c r="C11" s="3" t="s">
        <v>7</v>
      </c>
      <c r="D11" s="3" t="s">
        <v>21</v>
      </c>
      <c r="E11" s="7" t="s">
        <v>18</v>
      </c>
      <c r="F11" s="6" t="s">
        <v>15</v>
      </c>
      <c r="G11" s="3"/>
    </row>
    <row r="12" customFormat="false" ht="15" hidden="false" customHeight="true" outlineLevel="0" collapsed="false">
      <c r="A12" s="3" t="n">
        <v>11</v>
      </c>
      <c r="B12" s="3" t="n">
        <v>128</v>
      </c>
      <c r="C12" s="3" t="s">
        <v>7</v>
      </c>
      <c r="D12" s="3" t="s">
        <v>22</v>
      </c>
      <c r="E12" s="7" t="s">
        <v>18</v>
      </c>
      <c r="F12" s="6" t="s">
        <v>15</v>
      </c>
      <c r="G12" s="3"/>
    </row>
    <row r="13" customFormat="false" ht="15" hidden="false" customHeight="true" outlineLevel="0" collapsed="false">
      <c r="A13" s="3" t="n">
        <v>12</v>
      </c>
      <c r="B13" s="3" t="n">
        <v>54</v>
      </c>
      <c r="C13" s="3" t="s">
        <v>7</v>
      </c>
      <c r="D13" s="3" t="s">
        <v>23</v>
      </c>
      <c r="E13" s="7" t="s">
        <v>18</v>
      </c>
      <c r="F13" s="5" t="s">
        <v>10</v>
      </c>
      <c r="G13" s="3"/>
    </row>
    <row r="14" customFormat="false" ht="15" hidden="false" customHeight="true" outlineLevel="0" collapsed="false">
      <c r="A14" s="3" t="n">
        <v>13</v>
      </c>
      <c r="B14" s="3" t="n">
        <v>189</v>
      </c>
      <c r="C14" s="3" t="s">
        <v>7</v>
      </c>
      <c r="D14" s="3" t="s">
        <v>24</v>
      </c>
      <c r="E14" s="7" t="s">
        <v>18</v>
      </c>
      <c r="F14" s="5" t="s">
        <v>10</v>
      </c>
      <c r="G14" s="3"/>
    </row>
    <row r="15" customFormat="false" ht="15" hidden="false" customHeight="true" outlineLevel="0" collapsed="false">
      <c r="A15" s="3" t="n">
        <v>14</v>
      </c>
      <c r="B15" s="3" t="n">
        <v>41</v>
      </c>
      <c r="C15" s="3" t="s">
        <v>7</v>
      </c>
      <c r="D15" s="3" t="s">
        <v>25</v>
      </c>
      <c r="E15" s="8" t="s">
        <v>26</v>
      </c>
      <c r="F15" s="6" t="s">
        <v>15</v>
      </c>
      <c r="G15" s="3"/>
    </row>
    <row r="16" customFormat="false" ht="15" hidden="false" customHeight="true" outlineLevel="0" collapsed="false">
      <c r="A16" s="3" t="n">
        <v>15</v>
      </c>
      <c r="B16" s="3" t="n">
        <v>125</v>
      </c>
      <c r="C16" s="3" t="s">
        <v>27</v>
      </c>
      <c r="D16" s="3" t="s">
        <v>28</v>
      </c>
      <c r="E16" s="4" t="s">
        <v>9</v>
      </c>
      <c r="F16" s="6" t="s">
        <v>15</v>
      </c>
      <c r="G16" s="3"/>
    </row>
    <row r="17" customFormat="false" ht="15" hidden="false" customHeight="true" outlineLevel="0" collapsed="false">
      <c r="A17" s="3" t="n">
        <v>16</v>
      </c>
      <c r="B17" s="3" t="n">
        <v>88</v>
      </c>
      <c r="C17" s="3" t="s">
        <v>27</v>
      </c>
      <c r="D17" s="3" t="s">
        <v>29</v>
      </c>
      <c r="E17" s="4" t="s">
        <v>9</v>
      </c>
      <c r="F17" s="6" t="s">
        <v>15</v>
      </c>
      <c r="G17" s="3"/>
    </row>
    <row r="18" customFormat="false" ht="15" hidden="false" customHeight="true" outlineLevel="0" collapsed="false">
      <c r="A18" s="3" t="n">
        <v>17</v>
      </c>
      <c r="B18" s="3" t="n">
        <v>167</v>
      </c>
      <c r="C18" s="3" t="s">
        <v>27</v>
      </c>
      <c r="D18" s="3" t="s">
        <v>30</v>
      </c>
      <c r="E18" s="7" t="s">
        <v>18</v>
      </c>
      <c r="F18" s="6" t="s">
        <v>15</v>
      </c>
      <c r="G18" s="3"/>
    </row>
    <row r="19" customFormat="false" ht="15" hidden="false" customHeight="true" outlineLevel="0" collapsed="false">
      <c r="A19" s="3" t="n">
        <v>18</v>
      </c>
      <c r="B19" s="3" t="n">
        <v>15</v>
      </c>
      <c r="C19" s="3" t="s">
        <v>27</v>
      </c>
      <c r="D19" s="3" t="s">
        <v>31</v>
      </c>
      <c r="E19" s="7" t="s">
        <v>18</v>
      </c>
      <c r="F19" s="6" t="s">
        <v>15</v>
      </c>
      <c r="G19" s="3"/>
    </row>
    <row r="20" customFormat="false" ht="15" hidden="false" customHeight="true" outlineLevel="0" collapsed="false">
      <c r="A20" s="3" t="n">
        <v>19</v>
      </c>
      <c r="B20" s="3" t="n">
        <v>11</v>
      </c>
      <c r="C20" s="3" t="s">
        <v>27</v>
      </c>
      <c r="D20" s="3" t="s">
        <v>32</v>
      </c>
      <c r="E20" s="7" t="s">
        <v>18</v>
      </c>
      <c r="F20" s="6" t="s">
        <v>15</v>
      </c>
      <c r="G20" s="3"/>
    </row>
    <row r="21" customFormat="false" ht="15" hidden="false" customHeight="true" outlineLevel="0" collapsed="false">
      <c r="A21" s="3" t="n">
        <v>20</v>
      </c>
      <c r="B21" s="3" t="n">
        <v>42</v>
      </c>
      <c r="C21" s="3" t="s">
        <v>27</v>
      </c>
      <c r="D21" s="3" t="s">
        <v>33</v>
      </c>
      <c r="E21" s="8" t="s">
        <v>26</v>
      </c>
      <c r="F21" s="6" t="s">
        <v>15</v>
      </c>
      <c r="G21" s="3"/>
    </row>
    <row r="22" customFormat="false" ht="15" hidden="false" customHeight="true" outlineLevel="0" collapsed="false">
      <c r="A22" s="3" t="n">
        <v>21</v>
      </c>
      <c r="B22" s="3" t="n">
        <v>643</v>
      </c>
      <c r="C22" s="3" t="s">
        <v>34</v>
      </c>
      <c r="D22" s="3" t="s">
        <v>35</v>
      </c>
      <c r="E22" s="4" t="s">
        <v>9</v>
      </c>
      <c r="F22" s="6" t="s">
        <v>15</v>
      </c>
      <c r="G22" s="3"/>
    </row>
    <row r="23" customFormat="false" ht="15" hidden="false" customHeight="true" outlineLevel="0" collapsed="false">
      <c r="A23" s="3" t="n">
        <v>22</v>
      </c>
      <c r="B23" s="3" t="n">
        <v>3</v>
      </c>
      <c r="C23" s="3" t="s">
        <v>34</v>
      </c>
      <c r="D23" s="3" t="s">
        <v>36</v>
      </c>
      <c r="E23" s="7" t="s">
        <v>18</v>
      </c>
      <c r="F23" s="6" t="s">
        <v>15</v>
      </c>
      <c r="G23" s="3"/>
    </row>
    <row r="24" customFormat="false" ht="15" hidden="false" customHeight="true" outlineLevel="0" collapsed="false">
      <c r="A24" s="3" t="n">
        <v>23</v>
      </c>
      <c r="B24" s="3" t="n">
        <v>424</v>
      </c>
      <c r="C24" s="3" t="s">
        <v>34</v>
      </c>
      <c r="D24" s="3" t="s">
        <v>37</v>
      </c>
      <c r="E24" s="7" t="s">
        <v>18</v>
      </c>
      <c r="F24" s="6" t="s">
        <v>15</v>
      </c>
      <c r="G24" s="3"/>
    </row>
    <row r="25" customFormat="false" ht="15" hidden="false" customHeight="true" outlineLevel="0" collapsed="false">
      <c r="A25" s="3" t="n">
        <v>24</v>
      </c>
      <c r="B25" s="3" t="n">
        <v>567</v>
      </c>
      <c r="C25" s="3" t="s">
        <v>34</v>
      </c>
      <c r="D25" s="3" t="s">
        <v>38</v>
      </c>
      <c r="E25" s="7" t="s">
        <v>18</v>
      </c>
      <c r="F25" s="6" t="s">
        <v>15</v>
      </c>
      <c r="G25" s="3"/>
    </row>
    <row r="26" customFormat="false" ht="15" hidden="false" customHeight="true" outlineLevel="0" collapsed="false">
      <c r="A26" s="3" t="n">
        <v>25</v>
      </c>
      <c r="B26" s="3" t="n">
        <v>209</v>
      </c>
      <c r="C26" s="3" t="s">
        <v>34</v>
      </c>
      <c r="D26" s="3" t="s">
        <v>39</v>
      </c>
      <c r="E26" s="7" t="s">
        <v>18</v>
      </c>
      <c r="F26" s="6" t="s">
        <v>15</v>
      </c>
      <c r="G26" s="3"/>
    </row>
    <row r="27" customFormat="false" ht="15" hidden="false" customHeight="true" outlineLevel="0" collapsed="false">
      <c r="A27" s="3" t="n">
        <v>26</v>
      </c>
      <c r="B27" s="3" t="n">
        <v>239</v>
      </c>
      <c r="C27" s="3" t="s">
        <v>34</v>
      </c>
      <c r="D27" s="3" t="s">
        <v>40</v>
      </c>
      <c r="E27" s="8" t="s">
        <v>26</v>
      </c>
      <c r="F27" s="6" t="s">
        <v>15</v>
      </c>
      <c r="G27" s="3"/>
    </row>
    <row r="28" customFormat="false" ht="15" hidden="false" customHeight="true" outlineLevel="0" collapsed="false">
      <c r="A28" s="3" t="n">
        <v>27</v>
      </c>
      <c r="B28" s="3" t="n">
        <v>76</v>
      </c>
      <c r="C28" s="3" t="s">
        <v>34</v>
      </c>
      <c r="D28" s="3" t="s">
        <v>41</v>
      </c>
      <c r="E28" s="8" t="s">
        <v>26</v>
      </c>
      <c r="F28" s="6" t="s">
        <v>15</v>
      </c>
      <c r="G28" s="3"/>
    </row>
    <row r="29" customFormat="false" ht="15" hidden="false" customHeight="true" outlineLevel="0" collapsed="false">
      <c r="A29" s="3" t="n">
        <v>28</v>
      </c>
      <c r="B29" s="3" t="n">
        <v>20</v>
      </c>
      <c r="C29" s="3" t="s">
        <v>42</v>
      </c>
      <c r="D29" s="3" t="s">
        <v>43</v>
      </c>
      <c r="E29" s="4" t="s">
        <v>9</v>
      </c>
      <c r="F29" s="5" t="s">
        <v>10</v>
      </c>
      <c r="G29" s="3"/>
    </row>
    <row r="30" customFormat="false" ht="15" hidden="false" customHeight="true" outlineLevel="0" collapsed="false">
      <c r="A30" s="3" t="n">
        <v>29</v>
      </c>
      <c r="B30" s="3" t="n">
        <v>682</v>
      </c>
      <c r="C30" s="3" t="s">
        <v>42</v>
      </c>
      <c r="D30" s="3" t="s">
        <v>44</v>
      </c>
      <c r="E30" s="4" t="s">
        <v>9</v>
      </c>
      <c r="F30" s="6" t="s">
        <v>15</v>
      </c>
      <c r="G30" s="3"/>
    </row>
    <row r="31" customFormat="false" ht="15" hidden="false" customHeight="true" outlineLevel="0" collapsed="false">
      <c r="A31" s="3" t="n">
        <v>30</v>
      </c>
      <c r="B31" s="3" t="n">
        <v>150</v>
      </c>
      <c r="C31" s="3" t="s">
        <v>42</v>
      </c>
      <c r="D31" s="3" t="s">
        <v>45</v>
      </c>
      <c r="E31" s="7" t="s">
        <v>18</v>
      </c>
      <c r="F31" s="6" t="s">
        <v>15</v>
      </c>
      <c r="G31" s="3"/>
    </row>
    <row r="32" customFormat="false" ht="15" hidden="false" customHeight="true" outlineLevel="0" collapsed="false">
      <c r="A32" s="3" t="n">
        <v>31</v>
      </c>
      <c r="B32" s="3" t="n">
        <v>739</v>
      </c>
      <c r="C32" s="3" t="s">
        <v>42</v>
      </c>
      <c r="D32" s="3" t="s">
        <v>46</v>
      </c>
      <c r="E32" s="7" t="s">
        <v>18</v>
      </c>
      <c r="F32" s="6" t="s">
        <v>15</v>
      </c>
      <c r="G32" s="3"/>
    </row>
    <row r="33" customFormat="false" ht="15" hidden="false" customHeight="true" outlineLevel="0" collapsed="false">
      <c r="A33" s="3" t="n">
        <v>32</v>
      </c>
      <c r="B33" s="3" t="n">
        <v>22</v>
      </c>
      <c r="C33" s="3" t="s">
        <v>42</v>
      </c>
      <c r="D33" s="3" t="s">
        <v>47</v>
      </c>
      <c r="E33" s="7" t="s">
        <v>18</v>
      </c>
      <c r="F33" s="6" t="s">
        <v>15</v>
      </c>
      <c r="G33" s="3"/>
    </row>
    <row r="34" customFormat="false" ht="15" hidden="false" customHeight="true" outlineLevel="0" collapsed="false">
      <c r="A34" s="3" t="n">
        <v>33</v>
      </c>
      <c r="B34" s="3" t="n">
        <v>155</v>
      </c>
      <c r="C34" s="3" t="s">
        <v>42</v>
      </c>
      <c r="D34" s="3" t="s">
        <v>48</v>
      </c>
      <c r="E34" s="7" t="s">
        <v>18</v>
      </c>
      <c r="F34" s="6" t="s">
        <v>15</v>
      </c>
      <c r="G34" s="3"/>
    </row>
    <row r="35" customFormat="false" ht="15" hidden="false" customHeight="true" outlineLevel="0" collapsed="false">
      <c r="A35" s="3" t="n">
        <v>34</v>
      </c>
      <c r="B35" s="3" t="n">
        <v>84</v>
      </c>
      <c r="C35" s="3" t="s">
        <v>42</v>
      </c>
      <c r="D35" s="3" t="s">
        <v>49</v>
      </c>
      <c r="E35" s="8" t="s">
        <v>26</v>
      </c>
      <c r="F35" s="6" t="s">
        <v>15</v>
      </c>
      <c r="G35" s="3"/>
    </row>
    <row r="36" customFormat="false" ht="15" hidden="false" customHeight="true" outlineLevel="0" collapsed="false">
      <c r="A36" s="3" t="n">
        <v>35</v>
      </c>
      <c r="B36" s="3" t="n">
        <v>704</v>
      </c>
      <c r="C36" s="3" t="s">
        <v>50</v>
      </c>
      <c r="D36" s="3" t="s">
        <v>50</v>
      </c>
      <c r="E36" s="4" t="s">
        <v>9</v>
      </c>
      <c r="F36" s="6" t="s">
        <v>15</v>
      </c>
      <c r="G36" s="3"/>
    </row>
    <row r="37" customFormat="false" ht="15" hidden="false" customHeight="true" outlineLevel="0" collapsed="false">
      <c r="A37" s="3" t="n">
        <v>36</v>
      </c>
      <c r="B37" s="3" t="n">
        <v>278</v>
      </c>
      <c r="C37" s="3" t="s">
        <v>50</v>
      </c>
      <c r="D37" s="3" t="s">
        <v>51</v>
      </c>
      <c r="E37" s="4" t="s">
        <v>9</v>
      </c>
      <c r="F37" s="6" t="s">
        <v>15</v>
      </c>
      <c r="G37" s="3"/>
    </row>
    <row r="38" customFormat="false" ht="15" hidden="false" customHeight="true" outlineLevel="0" collapsed="false">
      <c r="A38" s="3" t="n">
        <v>37</v>
      </c>
      <c r="B38" s="3" t="n">
        <v>33</v>
      </c>
      <c r="C38" s="3" t="s">
        <v>50</v>
      </c>
      <c r="D38" s="3" t="s">
        <v>52</v>
      </c>
      <c r="E38" s="7" t="s">
        <v>18</v>
      </c>
      <c r="F38" s="6" t="s">
        <v>15</v>
      </c>
      <c r="G38" s="3"/>
    </row>
    <row r="39" customFormat="false" ht="15" hidden="false" customHeight="true" outlineLevel="0" collapsed="false">
      <c r="A39" s="3" t="n">
        <v>38</v>
      </c>
      <c r="B39" s="3" t="n">
        <v>153</v>
      </c>
      <c r="C39" s="3" t="s">
        <v>50</v>
      </c>
      <c r="D39" s="3" t="s">
        <v>53</v>
      </c>
      <c r="E39" s="7" t="s">
        <v>18</v>
      </c>
      <c r="F39" s="6" t="s">
        <v>15</v>
      </c>
      <c r="G39" s="3"/>
    </row>
    <row r="40" customFormat="false" ht="15" hidden="false" customHeight="true" outlineLevel="0" collapsed="false">
      <c r="A40" s="3" t="n">
        <v>39</v>
      </c>
      <c r="B40" s="3" t="n">
        <v>875</v>
      </c>
      <c r="C40" s="3" t="s">
        <v>50</v>
      </c>
      <c r="D40" s="3" t="s">
        <v>54</v>
      </c>
      <c r="E40" s="7" t="s">
        <v>18</v>
      </c>
      <c r="F40" s="6" t="s">
        <v>15</v>
      </c>
      <c r="G40" s="3"/>
    </row>
    <row r="41" customFormat="false" ht="15" hidden="false" customHeight="true" outlineLevel="0" collapsed="false">
      <c r="A41" s="3" t="n">
        <v>40</v>
      </c>
      <c r="B41" s="3" t="n">
        <v>4</v>
      </c>
      <c r="C41" s="3" t="s">
        <v>50</v>
      </c>
      <c r="D41" s="3" t="s">
        <v>55</v>
      </c>
      <c r="E41" s="8" t="s">
        <v>26</v>
      </c>
      <c r="F41" s="6" t="s">
        <v>15</v>
      </c>
      <c r="G41" s="3"/>
    </row>
    <row r="42" customFormat="false" ht="15" hidden="false" customHeight="true" outlineLevel="0" collapsed="false">
      <c r="A42" s="3" t="n">
        <v>41</v>
      </c>
      <c r="B42" s="3" t="n">
        <v>206</v>
      </c>
      <c r="C42" s="3" t="s">
        <v>56</v>
      </c>
      <c r="D42" s="3" t="s">
        <v>57</v>
      </c>
      <c r="E42" s="4" t="s">
        <v>9</v>
      </c>
      <c r="F42" s="6" t="s">
        <v>15</v>
      </c>
      <c r="G42" s="3"/>
    </row>
    <row r="43" customFormat="false" ht="15" hidden="false" customHeight="true" outlineLevel="0" collapsed="false">
      <c r="A43" s="3" t="n">
        <v>42</v>
      </c>
      <c r="B43" s="3" t="n">
        <v>21</v>
      </c>
      <c r="C43" s="3" t="s">
        <v>56</v>
      </c>
      <c r="D43" s="3" t="s">
        <v>58</v>
      </c>
      <c r="E43" s="4" t="s">
        <v>9</v>
      </c>
      <c r="F43" s="6" t="s">
        <v>15</v>
      </c>
      <c r="G43" s="3"/>
    </row>
    <row r="44" customFormat="false" ht="15" hidden="false" customHeight="true" outlineLevel="0" collapsed="false">
      <c r="A44" s="3" t="n">
        <v>43</v>
      </c>
      <c r="B44" s="3" t="n">
        <v>141</v>
      </c>
      <c r="C44" s="3" t="s">
        <v>56</v>
      </c>
      <c r="D44" s="3" t="s">
        <v>59</v>
      </c>
      <c r="E44" s="4" t="s">
        <v>9</v>
      </c>
      <c r="F44" s="6" t="s">
        <v>15</v>
      </c>
      <c r="G44" s="3"/>
    </row>
    <row r="45" customFormat="false" ht="15" hidden="false" customHeight="true" outlineLevel="0" collapsed="false">
      <c r="A45" s="3" t="n">
        <v>44</v>
      </c>
      <c r="B45" s="3" t="n">
        <v>143</v>
      </c>
      <c r="C45" s="3" t="s">
        <v>56</v>
      </c>
      <c r="D45" s="3" t="s">
        <v>60</v>
      </c>
      <c r="E45" s="7" t="s">
        <v>18</v>
      </c>
      <c r="F45" s="6" t="s">
        <v>15</v>
      </c>
      <c r="G45" s="3"/>
    </row>
    <row r="46" customFormat="false" ht="15" hidden="false" customHeight="true" outlineLevel="0" collapsed="false">
      <c r="A46" s="3" t="n">
        <v>45</v>
      </c>
      <c r="B46" s="3" t="n">
        <v>19</v>
      </c>
      <c r="C46" s="3" t="s">
        <v>56</v>
      </c>
      <c r="D46" s="3" t="s">
        <v>61</v>
      </c>
      <c r="E46" s="7" t="s">
        <v>18</v>
      </c>
      <c r="F46" s="6" t="s">
        <v>15</v>
      </c>
      <c r="G46" s="3"/>
    </row>
    <row r="47" customFormat="false" ht="15" hidden="false" customHeight="true" outlineLevel="0" collapsed="false">
      <c r="A47" s="3" t="n">
        <v>46</v>
      </c>
      <c r="B47" s="3" t="n">
        <v>2</v>
      </c>
      <c r="C47" s="3" t="s">
        <v>56</v>
      </c>
      <c r="D47" s="3" t="s">
        <v>62</v>
      </c>
      <c r="E47" s="7" t="s">
        <v>18</v>
      </c>
      <c r="F47" s="6" t="s">
        <v>15</v>
      </c>
      <c r="G47" s="3"/>
    </row>
    <row r="48" customFormat="false" ht="15" hidden="false" customHeight="true" outlineLevel="0" collapsed="false">
      <c r="A48" s="3" t="n">
        <v>47</v>
      </c>
      <c r="B48" s="3" t="n">
        <v>138</v>
      </c>
      <c r="C48" s="3" t="s">
        <v>56</v>
      </c>
      <c r="D48" s="3" t="s">
        <v>63</v>
      </c>
      <c r="E48" s="7" t="s">
        <v>18</v>
      </c>
      <c r="F48" s="6" t="s">
        <v>15</v>
      </c>
      <c r="G48" s="3"/>
    </row>
    <row r="49" customFormat="false" ht="15" hidden="false" customHeight="true" outlineLevel="0" collapsed="false">
      <c r="A49" s="3" t="n">
        <v>48</v>
      </c>
      <c r="B49" s="3" t="n">
        <v>23</v>
      </c>
      <c r="C49" s="3" t="s">
        <v>56</v>
      </c>
      <c r="D49" s="3" t="s">
        <v>64</v>
      </c>
      <c r="E49" s="8" t="s">
        <v>26</v>
      </c>
      <c r="F49" s="6" t="s">
        <v>15</v>
      </c>
      <c r="G49" s="3"/>
    </row>
    <row r="50" customFormat="false" ht="15" hidden="false" customHeight="true" outlineLevel="0" collapsed="false">
      <c r="A50" s="3" t="n">
        <v>49</v>
      </c>
      <c r="B50" s="3" t="n">
        <v>25</v>
      </c>
      <c r="C50" s="3" t="s">
        <v>56</v>
      </c>
      <c r="D50" s="3" t="s">
        <v>65</v>
      </c>
      <c r="E50" s="8" t="s">
        <v>26</v>
      </c>
      <c r="F50" s="6" t="s">
        <v>15</v>
      </c>
      <c r="G50" s="3"/>
    </row>
    <row r="51" customFormat="false" ht="15" hidden="false" customHeight="true" outlineLevel="0" collapsed="false">
      <c r="A51" s="3" t="n">
        <v>50</v>
      </c>
      <c r="B51" s="3" t="n">
        <v>226</v>
      </c>
      <c r="C51" s="3" t="s">
        <v>66</v>
      </c>
      <c r="D51" s="3" t="s">
        <v>67</v>
      </c>
      <c r="E51" s="4" t="s">
        <v>9</v>
      </c>
      <c r="F51" s="6" t="s">
        <v>15</v>
      </c>
      <c r="G51" s="3"/>
    </row>
    <row r="52" customFormat="false" ht="15" hidden="false" customHeight="true" outlineLevel="0" collapsed="false">
      <c r="A52" s="3" t="n">
        <v>51</v>
      </c>
      <c r="B52" s="3" t="n">
        <v>104</v>
      </c>
      <c r="C52" s="3" t="s">
        <v>66</v>
      </c>
      <c r="D52" s="3" t="s">
        <v>68</v>
      </c>
      <c r="E52" s="4" t="s">
        <v>9</v>
      </c>
      <c r="F52" s="6" t="s">
        <v>15</v>
      </c>
      <c r="G52" s="3"/>
    </row>
    <row r="53" customFormat="false" ht="15" hidden="false" customHeight="true" outlineLevel="0" collapsed="false">
      <c r="A53" s="3" t="n">
        <v>52</v>
      </c>
      <c r="B53" s="3" t="n">
        <v>100</v>
      </c>
      <c r="C53" s="3" t="s">
        <v>66</v>
      </c>
      <c r="D53" s="3" t="s">
        <v>69</v>
      </c>
      <c r="E53" s="4" t="s">
        <v>9</v>
      </c>
      <c r="F53" s="6" t="s">
        <v>15</v>
      </c>
      <c r="G53" s="3"/>
    </row>
    <row r="54" customFormat="false" ht="15" hidden="false" customHeight="true" outlineLevel="0" collapsed="false">
      <c r="A54" s="3" t="n">
        <v>53</v>
      </c>
      <c r="B54" s="3" t="n">
        <v>572</v>
      </c>
      <c r="C54" s="3" t="s">
        <v>66</v>
      </c>
      <c r="D54" s="3" t="s">
        <v>70</v>
      </c>
      <c r="E54" s="4" t="s">
        <v>9</v>
      </c>
      <c r="F54" s="6" t="s">
        <v>15</v>
      </c>
      <c r="G54" s="3"/>
    </row>
    <row r="55" customFormat="false" ht="15" hidden="false" customHeight="true" outlineLevel="0" collapsed="false">
      <c r="A55" s="3" t="n">
        <v>54</v>
      </c>
      <c r="B55" s="3" t="n">
        <v>102</v>
      </c>
      <c r="C55" s="3" t="s">
        <v>66</v>
      </c>
      <c r="D55" s="3" t="s">
        <v>71</v>
      </c>
      <c r="E55" s="7" t="s">
        <v>18</v>
      </c>
      <c r="F55" s="6" t="s">
        <v>15</v>
      </c>
      <c r="G55" s="3"/>
    </row>
    <row r="56" customFormat="false" ht="15" hidden="false" customHeight="true" outlineLevel="0" collapsed="false">
      <c r="A56" s="3" t="n">
        <v>55</v>
      </c>
      <c r="B56" s="3" t="n">
        <v>98</v>
      </c>
      <c r="C56" s="3" t="s">
        <v>66</v>
      </c>
      <c r="D56" s="3" t="s">
        <v>72</v>
      </c>
      <c r="E56" s="7" t="s">
        <v>18</v>
      </c>
      <c r="F56" s="6" t="s">
        <v>15</v>
      </c>
      <c r="G56" s="3"/>
    </row>
    <row r="57" customFormat="false" ht="15" hidden="false" customHeight="true" outlineLevel="0" collapsed="false">
      <c r="A57" s="3" t="n">
        <v>56</v>
      </c>
      <c r="B57" s="3" t="n">
        <v>230</v>
      </c>
      <c r="C57" s="3" t="s">
        <v>66</v>
      </c>
      <c r="D57" s="3" t="s">
        <v>73</v>
      </c>
      <c r="E57" s="7" t="s">
        <v>18</v>
      </c>
      <c r="F57" s="6" t="s">
        <v>15</v>
      </c>
      <c r="G57" s="3"/>
    </row>
    <row r="58" customFormat="false" ht="15" hidden="false" customHeight="true" outlineLevel="0" collapsed="false">
      <c r="A58" s="3" t="n">
        <v>57</v>
      </c>
      <c r="B58" s="3" t="n">
        <v>235</v>
      </c>
      <c r="C58" s="3" t="s">
        <v>66</v>
      </c>
      <c r="D58" s="3" t="s">
        <v>74</v>
      </c>
      <c r="E58" s="7" t="s">
        <v>18</v>
      </c>
      <c r="F58" s="6" t="s">
        <v>15</v>
      </c>
      <c r="G58" s="3"/>
    </row>
    <row r="59" customFormat="false" ht="15" hidden="false" customHeight="true" outlineLevel="0" collapsed="false">
      <c r="A59" s="3" t="n">
        <v>58</v>
      </c>
      <c r="B59" s="3" t="n">
        <v>105</v>
      </c>
      <c r="C59" s="3" t="s">
        <v>66</v>
      </c>
      <c r="D59" s="3" t="s">
        <v>75</v>
      </c>
      <c r="E59" s="7" t="s">
        <v>18</v>
      </c>
      <c r="F59" s="6" t="s">
        <v>15</v>
      </c>
      <c r="G59" s="3"/>
    </row>
    <row r="60" customFormat="false" ht="15" hidden="false" customHeight="true" outlineLevel="0" collapsed="false">
      <c r="A60" s="3" t="n">
        <v>59</v>
      </c>
      <c r="B60" s="3" t="n">
        <v>124</v>
      </c>
      <c r="C60" s="3" t="s">
        <v>66</v>
      </c>
      <c r="D60" s="3" t="s">
        <v>76</v>
      </c>
      <c r="E60" s="8" t="s">
        <v>26</v>
      </c>
      <c r="F60" s="6" t="s">
        <v>15</v>
      </c>
      <c r="G60" s="3"/>
    </row>
    <row r="61" customFormat="false" ht="15" hidden="false" customHeight="true" outlineLevel="0" collapsed="false">
      <c r="A61" s="3" t="n">
        <v>60</v>
      </c>
      <c r="B61" s="3" t="n">
        <v>297</v>
      </c>
      <c r="C61" s="3" t="s">
        <v>66</v>
      </c>
      <c r="D61" s="3" t="s">
        <v>77</v>
      </c>
      <c r="E61" s="8" t="s">
        <v>26</v>
      </c>
      <c r="F61" s="6" t="s">
        <v>15</v>
      </c>
      <c r="G61" s="3"/>
    </row>
    <row r="62" customFormat="false" ht="15" hidden="false" customHeight="true" outlineLevel="0" collapsed="false">
      <c r="A62" s="3" t="n">
        <v>61</v>
      </c>
      <c r="B62" s="3" t="n">
        <v>703</v>
      </c>
      <c r="C62" s="3" t="s">
        <v>78</v>
      </c>
      <c r="D62" s="3" t="s">
        <v>79</v>
      </c>
      <c r="E62" s="4" t="s">
        <v>9</v>
      </c>
      <c r="F62" s="6" t="s">
        <v>15</v>
      </c>
      <c r="G62" s="3"/>
    </row>
    <row r="63" customFormat="false" ht="15" hidden="false" customHeight="true" outlineLevel="0" collapsed="false">
      <c r="A63" s="3" t="n">
        <v>62</v>
      </c>
      <c r="B63" s="3" t="n">
        <v>1046</v>
      </c>
      <c r="C63" s="3" t="s">
        <v>78</v>
      </c>
      <c r="D63" s="3" t="s">
        <v>80</v>
      </c>
      <c r="E63" s="4" t="s">
        <v>9</v>
      </c>
      <c r="F63" s="6" t="s">
        <v>15</v>
      </c>
      <c r="G63" s="3"/>
    </row>
    <row r="64" customFormat="false" ht="15" hidden="false" customHeight="true" outlineLevel="0" collapsed="false">
      <c r="A64" s="3" t="n">
        <v>63</v>
      </c>
      <c r="B64" s="3" t="n">
        <v>973</v>
      </c>
      <c r="C64" s="3" t="s">
        <v>78</v>
      </c>
      <c r="D64" s="3" t="s">
        <v>81</v>
      </c>
      <c r="E64" s="7" t="s">
        <v>18</v>
      </c>
      <c r="F64" s="6" t="s">
        <v>15</v>
      </c>
      <c r="G64" s="3"/>
    </row>
    <row r="65" customFormat="false" ht="15" hidden="false" customHeight="true" outlineLevel="0" collapsed="false">
      <c r="A65" s="3" t="n">
        <v>64</v>
      </c>
      <c r="B65" s="3" t="n">
        <v>215</v>
      </c>
      <c r="C65" s="3" t="s">
        <v>78</v>
      </c>
      <c r="D65" s="3" t="s">
        <v>82</v>
      </c>
      <c r="E65" s="7" t="s">
        <v>18</v>
      </c>
      <c r="F65" s="5" t="s">
        <v>10</v>
      </c>
      <c r="G65" s="3"/>
    </row>
    <row r="66" customFormat="false" ht="15" hidden="false" customHeight="true" outlineLevel="0" collapsed="false">
      <c r="A66" s="3" t="n">
        <v>65</v>
      </c>
      <c r="B66" s="3" t="n">
        <v>621</v>
      </c>
      <c r="C66" s="3" t="s">
        <v>78</v>
      </c>
      <c r="D66" s="3" t="s">
        <v>83</v>
      </c>
      <c r="E66" s="7" t="s">
        <v>18</v>
      </c>
      <c r="F66" s="6" t="s">
        <v>15</v>
      </c>
      <c r="G66" s="3"/>
    </row>
    <row r="67" customFormat="false" ht="15" hidden="false" customHeight="true" outlineLevel="0" collapsed="false">
      <c r="A67" s="3" t="n">
        <v>66</v>
      </c>
      <c r="B67" s="3" t="n">
        <v>295</v>
      </c>
      <c r="C67" s="3" t="s">
        <v>78</v>
      </c>
      <c r="D67" s="3" t="s">
        <v>84</v>
      </c>
      <c r="E67" s="8" t="s">
        <v>26</v>
      </c>
      <c r="F67" s="6" t="s">
        <v>15</v>
      </c>
      <c r="G67" s="3"/>
    </row>
    <row r="68" customFormat="false" ht="15" hidden="false" customHeight="true" outlineLevel="0" collapsed="false">
      <c r="A68" s="3" t="n">
        <v>67</v>
      </c>
      <c r="B68" s="3" t="n">
        <v>480</v>
      </c>
      <c r="C68" s="3" t="s">
        <v>78</v>
      </c>
      <c r="D68" s="3" t="s">
        <v>85</v>
      </c>
      <c r="E68" s="8" t="s">
        <v>26</v>
      </c>
      <c r="F68" s="6" t="s">
        <v>15</v>
      </c>
      <c r="G68" s="3"/>
    </row>
    <row r="69" customFormat="false" ht="15" hidden="false" customHeight="true" outlineLevel="0" collapsed="false">
      <c r="A69" s="3" t="n">
        <v>68</v>
      </c>
      <c r="B69" s="3" t="n">
        <v>78</v>
      </c>
      <c r="C69" s="3" t="s">
        <v>86</v>
      </c>
      <c r="D69" s="3" t="s">
        <v>87</v>
      </c>
      <c r="E69" s="7" t="s">
        <v>18</v>
      </c>
      <c r="F69" s="6" t="s">
        <v>15</v>
      </c>
      <c r="G69" s="3"/>
    </row>
    <row r="70" customFormat="false" ht="15" hidden="false" customHeight="true" outlineLevel="0" collapsed="false">
      <c r="A70" s="3" t="n">
        <v>69</v>
      </c>
      <c r="B70" s="3" t="n">
        <v>39</v>
      </c>
      <c r="C70" s="3" t="s">
        <v>86</v>
      </c>
      <c r="D70" s="3" t="s">
        <v>88</v>
      </c>
      <c r="E70" s="7" t="s">
        <v>18</v>
      </c>
      <c r="F70" s="6" t="s">
        <v>15</v>
      </c>
      <c r="G70" s="3"/>
    </row>
    <row r="71" customFormat="false" ht="15" hidden="false" customHeight="true" outlineLevel="0" collapsed="false">
      <c r="A71" s="3" t="n">
        <v>70</v>
      </c>
      <c r="B71" s="3" t="n">
        <v>46</v>
      </c>
      <c r="C71" s="3" t="s">
        <v>86</v>
      </c>
      <c r="D71" s="3" t="s">
        <v>89</v>
      </c>
      <c r="E71" s="7" t="s">
        <v>18</v>
      </c>
      <c r="F71" s="6" t="s">
        <v>15</v>
      </c>
      <c r="G71" s="3"/>
    </row>
    <row r="72" customFormat="false" ht="15" hidden="false" customHeight="true" outlineLevel="0" collapsed="false">
      <c r="A72" s="3" t="n">
        <v>71</v>
      </c>
      <c r="B72" s="3" t="n">
        <v>79</v>
      </c>
      <c r="C72" s="3" t="s">
        <v>86</v>
      </c>
      <c r="D72" s="3" t="s">
        <v>90</v>
      </c>
      <c r="E72" s="7" t="s">
        <v>18</v>
      </c>
      <c r="F72" s="6" t="s">
        <v>15</v>
      </c>
      <c r="G72" s="3"/>
    </row>
    <row r="73" customFormat="false" ht="15" hidden="false" customHeight="true" outlineLevel="0" collapsed="false">
      <c r="A73" s="3" t="n">
        <v>72</v>
      </c>
      <c r="B73" s="3" t="n">
        <v>131</v>
      </c>
      <c r="C73" s="3" t="s">
        <v>86</v>
      </c>
      <c r="D73" s="3" t="s">
        <v>91</v>
      </c>
      <c r="E73" s="7" t="s">
        <v>18</v>
      </c>
      <c r="F73" s="6" t="s">
        <v>15</v>
      </c>
      <c r="G73" s="3"/>
    </row>
    <row r="74" customFormat="false" ht="15" hidden="false" customHeight="true" outlineLevel="0" collapsed="false">
      <c r="A74" s="3" t="n">
        <v>73</v>
      </c>
      <c r="B74" s="3" t="n">
        <v>51</v>
      </c>
      <c r="C74" s="3" t="s">
        <v>86</v>
      </c>
      <c r="D74" s="3" t="s">
        <v>92</v>
      </c>
      <c r="E74" s="8" t="s">
        <v>26</v>
      </c>
      <c r="F74" s="6" t="s">
        <v>15</v>
      </c>
      <c r="G74" s="3"/>
    </row>
    <row r="75" customFormat="false" ht="15" hidden="false" customHeight="true" outlineLevel="0" collapsed="false">
      <c r="A75" s="3" t="n">
        <v>74</v>
      </c>
      <c r="B75" s="3" t="n">
        <v>733</v>
      </c>
      <c r="C75" s="3" t="s">
        <v>93</v>
      </c>
      <c r="D75" s="3" t="s">
        <v>94</v>
      </c>
      <c r="E75" s="4" t="s">
        <v>9</v>
      </c>
      <c r="F75" s="6" t="s">
        <v>15</v>
      </c>
      <c r="G75" s="3"/>
    </row>
    <row r="76" customFormat="false" ht="15" hidden="false" customHeight="true" outlineLevel="0" collapsed="false">
      <c r="A76" s="3" t="n">
        <v>75</v>
      </c>
      <c r="B76" s="3" t="n">
        <v>200</v>
      </c>
      <c r="C76" s="3" t="s">
        <v>93</v>
      </c>
      <c r="D76" s="3" t="s">
        <v>95</v>
      </c>
      <c r="E76" s="7" t="s">
        <v>18</v>
      </c>
      <c r="F76" s="6" t="s">
        <v>15</v>
      </c>
      <c r="G76" s="3"/>
    </row>
    <row r="77" customFormat="false" ht="15" hidden="false" customHeight="true" outlineLevel="0" collapsed="false">
      <c r="A77" s="3" t="n">
        <v>76</v>
      </c>
      <c r="B77" s="3" t="n">
        <v>133</v>
      </c>
      <c r="C77" s="3" t="s">
        <v>93</v>
      </c>
      <c r="D77" s="3" t="s">
        <v>96</v>
      </c>
      <c r="E77" s="7" t="s">
        <v>18</v>
      </c>
      <c r="F77" s="6" t="s">
        <v>15</v>
      </c>
      <c r="G77" s="3"/>
    </row>
    <row r="78" customFormat="false" ht="15" hidden="false" customHeight="true" outlineLevel="0" collapsed="false">
      <c r="A78" s="3" t="n">
        <v>77</v>
      </c>
      <c r="B78" s="3" t="n">
        <v>207</v>
      </c>
      <c r="C78" s="3" t="s">
        <v>93</v>
      </c>
      <c r="D78" s="3" t="s">
        <v>97</v>
      </c>
      <c r="E78" s="7" t="s">
        <v>18</v>
      </c>
      <c r="F78" s="6" t="s">
        <v>15</v>
      </c>
      <c r="G78" s="3"/>
    </row>
    <row r="79" customFormat="false" ht="15" hidden="false" customHeight="true" outlineLevel="0" collapsed="false">
      <c r="A79" s="3" t="n">
        <v>78</v>
      </c>
      <c r="B79" s="3" t="n">
        <v>417</v>
      </c>
      <c r="C79" s="3" t="s">
        <v>93</v>
      </c>
      <c r="D79" s="3" t="s">
        <v>98</v>
      </c>
      <c r="E79" s="7" t="s">
        <v>18</v>
      </c>
      <c r="F79" s="6" t="s">
        <v>15</v>
      </c>
      <c r="G79" s="3"/>
    </row>
    <row r="80" customFormat="false" ht="15" hidden="false" customHeight="true" outlineLevel="0" collapsed="false">
      <c r="A80" s="3" t="n">
        <v>79</v>
      </c>
      <c r="B80" s="3" t="n">
        <v>994</v>
      </c>
      <c r="C80" s="3" t="s">
        <v>93</v>
      </c>
      <c r="D80" s="3" t="s">
        <v>99</v>
      </c>
      <c r="E80" s="7" t="s">
        <v>18</v>
      </c>
      <c r="F80" s="6" t="s">
        <v>15</v>
      </c>
      <c r="G80" s="3"/>
    </row>
    <row r="81" customFormat="false" ht="15" hidden="false" customHeight="true" outlineLevel="0" collapsed="false">
      <c r="A81" s="3" t="n">
        <v>80</v>
      </c>
      <c r="B81" s="3" t="n">
        <v>127</v>
      </c>
      <c r="C81" s="3" t="s">
        <v>93</v>
      </c>
      <c r="D81" s="3" t="s">
        <v>100</v>
      </c>
      <c r="E81" s="8" t="s">
        <v>26</v>
      </c>
      <c r="F81" s="6" t="s">
        <v>15</v>
      </c>
      <c r="G81" s="3"/>
    </row>
    <row r="82" customFormat="false" ht="15" hidden="false" customHeight="true" outlineLevel="0" collapsed="false">
      <c r="A82" s="3" t="n">
        <v>81</v>
      </c>
      <c r="B82" s="3" t="n">
        <v>269</v>
      </c>
      <c r="C82" s="3" t="s">
        <v>93</v>
      </c>
      <c r="D82" s="3" t="s">
        <v>101</v>
      </c>
      <c r="E82" s="8" t="s">
        <v>26</v>
      </c>
      <c r="F82" s="6" t="s">
        <v>15</v>
      </c>
      <c r="G82" s="3"/>
    </row>
    <row r="83" customFormat="false" ht="15" hidden="false" customHeight="true" outlineLevel="0" collapsed="false">
      <c r="A83" s="3" t="n">
        <v>82</v>
      </c>
      <c r="B83" s="3" t="n">
        <v>70</v>
      </c>
      <c r="C83" s="3" t="s">
        <v>102</v>
      </c>
      <c r="D83" s="3" t="s">
        <v>103</v>
      </c>
      <c r="E83" s="4" t="s">
        <v>9</v>
      </c>
      <c r="F83" s="6" t="s">
        <v>15</v>
      </c>
      <c r="G83" s="3"/>
    </row>
    <row r="84" customFormat="false" ht="15" hidden="false" customHeight="true" outlineLevel="0" collapsed="false">
      <c r="A84" s="3" t="n">
        <v>83</v>
      </c>
      <c r="B84" s="3" t="n">
        <v>198</v>
      </c>
      <c r="C84" s="3" t="s">
        <v>102</v>
      </c>
      <c r="D84" s="3" t="s">
        <v>104</v>
      </c>
      <c r="E84" s="4" t="s">
        <v>9</v>
      </c>
      <c r="F84" s="6" t="s">
        <v>15</v>
      </c>
      <c r="G84" s="3"/>
    </row>
    <row r="85" customFormat="false" ht="15" hidden="false" customHeight="true" outlineLevel="0" collapsed="false">
      <c r="A85" s="3" t="n">
        <v>84</v>
      </c>
      <c r="B85" s="3" t="n">
        <v>213</v>
      </c>
      <c r="C85" s="3" t="s">
        <v>102</v>
      </c>
      <c r="D85" s="3" t="s">
        <v>105</v>
      </c>
      <c r="E85" s="7" t="s">
        <v>18</v>
      </c>
      <c r="F85" s="6" t="s">
        <v>15</v>
      </c>
      <c r="G85" s="3"/>
    </row>
    <row r="86" customFormat="false" ht="15" hidden="false" customHeight="true" outlineLevel="0" collapsed="false">
      <c r="A86" s="3" t="n">
        <v>85</v>
      </c>
      <c r="B86" s="3" t="n">
        <v>300</v>
      </c>
      <c r="C86" s="3" t="s">
        <v>102</v>
      </c>
      <c r="D86" s="3" t="s">
        <v>106</v>
      </c>
      <c r="E86" s="7" t="s">
        <v>18</v>
      </c>
      <c r="F86" s="6" t="s">
        <v>15</v>
      </c>
      <c r="G86" s="3"/>
    </row>
    <row r="87" customFormat="false" ht="15" hidden="false" customHeight="true" outlineLevel="0" collapsed="false">
      <c r="A87" s="3" t="n">
        <v>86</v>
      </c>
      <c r="B87" s="3" t="n">
        <v>322</v>
      </c>
      <c r="C87" s="3" t="s">
        <v>102</v>
      </c>
      <c r="D87" s="3" t="s">
        <v>107</v>
      </c>
      <c r="E87" s="7" t="s">
        <v>18</v>
      </c>
      <c r="F87" s="6" t="s">
        <v>15</v>
      </c>
      <c r="G87" s="3"/>
    </row>
    <row r="88" customFormat="false" ht="15" hidden="false" customHeight="true" outlineLevel="0" collapsed="false">
      <c r="A88" s="3" t="n">
        <v>87</v>
      </c>
      <c r="B88" s="3" t="n">
        <v>139</v>
      </c>
      <c r="C88" s="3" t="s">
        <v>102</v>
      </c>
      <c r="D88" s="3" t="s">
        <v>108</v>
      </c>
      <c r="E88" s="7" t="s">
        <v>18</v>
      </c>
      <c r="F88" s="6" t="s">
        <v>15</v>
      </c>
      <c r="G88" s="3"/>
    </row>
    <row r="89" customFormat="false" ht="15" hidden="false" customHeight="true" outlineLevel="0" collapsed="false">
      <c r="A89" s="3" t="n">
        <v>88</v>
      </c>
      <c r="B89" s="3" t="n">
        <v>91</v>
      </c>
      <c r="C89" s="3" t="s">
        <v>102</v>
      </c>
      <c r="D89" s="3" t="s">
        <v>109</v>
      </c>
      <c r="E89" s="7" t="s">
        <v>18</v>
      </c>
      <c r="F89" s="6" t="s">
        <v>15</v>
      </c>
      <c r="G89" s="3"/>
    </row>
    <row r="90" customFormat="false" ht="15" hidden="false" customHeight="true" outlineLevel="0" collapsed="false">
      <c r="A90" s="3" t="n">
        <v>89</v>
      </c>
      <c r="B90" s="3" t="n">
        <v>132</v>
      </c>
      <c r="C90" s="3" t="s">
        <v>102</v>
      </c>
      <c r="D90" s="3" t="s">
        <v>110</v>
      </c>
      <c r="E90" s="8" t="s">
        <v>26</v>
      </c>
      <c r="F90" s="6" t="s">
        <v>15</v>
      </c>
      <c r="G90" s="3"/>
    </row>
    <row r="91" customFormat="false" ht="15" hidden="false" customHeight="true" outlineLevel="0" collapsed="false">
      <c r="A91" s="3" t="n">
        <v>90</v>
      </c>
      <c r="B91" s="3" t="n">
        <v>62</v>
      </c>
      <c r="C91" s="3" t="s">
        <v>111</v>
      </c>
      <c r="D91" s="3" t="s">
        <v>112</v>
      </c>
      <c r="E91" s="7" t="s">
        <v>18</v>
      </c>
      <c r="F91" s="6" t="s">
        <v>15</v>
      </c>
      <c r="G91" s="3"/>
    </row>
    <row r="92" customFormat="false" ht="15" hidden="false" customHeight="true" outlineLevel="0" collapsed="false">
      <c r="A92" s="3" t="n">
        <v>91</v>
      </c>
      <c r="B92" s="3" t="n">
        <v>1143</v>
      </c>
      <c r="C92" s="3" t="s">
        <v>111</v>
      </c>
      <c r="D92" s="3" t="s">
        <v>113</v>
      </c>
      <c r="E92" s="7" t="s">
        <v>18</v>
      </c>
      <c r="F92" s="6" t="s">
        <v>15</v>
      </c>
      <c r="G92" s="3"/>
    </row>
    <row r="93" customFormat="false" ht="15" hidden="false" customHeight="true" outlineLevel="0" collapsed="false">
      <c r="A93" s="3" t="n">
        <v>92</v>
      </c>
      <c r="B93" s="3" t="n">
        <v>72</v>
      </c>
      <c r="C93" s="3" t="s">
        <v>111</v>
      </c>
      <c r="D93" s="3" t="s">
        <v>114</v>
      </c>
      <c r="E93" s="8" t="s">
        <v>26</v>
      </c>
      <c r="F93" s="6" t="s">
        <v>15</v>
      </c>
      <c r="G93" s="3"/>
    </row>
    <row r="94" customFormat="false" ht="15" hidden="false" customHeight="true" outlineLevel="0" collapsed="false">
      <c r="A94" s="3" t="n">
        <v>93</v>
      </c>
      <c r="B94" s="3" t="n">
        <v>115</v>
      </c>
      <c r="C94" s="3" t="s">
        <v>111</v>
      </c>
      <c r="D94" s="3" t="s">
        <v>115</v>
      </c>
      <c r="E94" s="8" t="s">
        <v>26</v>
      </c>
      <c r="F94" s="6" t="s">
        <v>15</v>
      </c>
      <c r="G94" s="3"/>
    </row>
    <row r="95" customFormat="false" ht="15" hidden="false" customHeight="true" outlineLevel="0" collapsed="false">
      <c r="A95" s="3" t="n">
        <v>94</v>
      </c>
      <c r="B95" s="3" t="n">
        <v>53</v>
      </c>
      <c r="C95" s="3" t="s">
        <v>116</v>
      </c>
      <c r="D95" s="3" t="s">
        <v>117</v>
      </c>
      <c r="E95" s="4" t="s">
        <v>9</v>
      </c>
      <c r="F95" s="6" t="s">
        <v>15</v>
      </c>
      <c r="G95" s="3"/>
    </row>
    <row r="96" customFormat="false" ht="15" hidden="false" customHeight="true" outlineLevel="0" collapsed="false">
      <c r="A96" s="3" t="n">
        <v>95</v>
      </c>
      <c r="B96" s="3" t="n">
        <v>55</v>
      </c>
      <c r="C96" s="3" t="s">
        <v>116</v>
      </c>
      <c r="D96" s="3" t="s">
        <v>118</v>
      </c>
      <c r="E96" s="7" t="s">
        <v>18</v>
      </c>
      <c r="F96" s="6" t="s">
        <v>15</v>
      </c>
      <c r="G96" s="3"/>
    </row>
    <row r="97" customFormat="false" ht="15" hidden="false" customHeight="true" outlineLevel="0" collapsed="false">
      <c r="A97" s="3" t="n">
        <v>96</v>
      </c>
      <c r="B97" s="3" t="n">
        <v>134</v>
      </c>
      <c r="C97" s="3" t="s">
        <v>116</v>
      </c>
      <c r="D97" s="3" t="s">
        <v>119</v>
      </c>
      <c r="E97" s="7" t="s">
        <v>18</v>
      </c>
      <c r="F97" s="6" t="s">
        <v>15</v>
      </c>
      <c r="G97" s="3"/>
    </row>
    <row r="98" customFormat="false" ht="15" hidden="false" customHeight="true" outlineLevel="0" collapsed="false">
      <c r="A98" s="3" t="n">
        <v>97</v>
      </c>
      <c r="B98" s="3" t="n">
        <v>135</v>
      </c>
      <c r="C98" s="3" t="s">
        <v>116</v>
      </c>
      <c r="D98" s="3" t="s">
        <v>120</v>
      </c>
      <c r="E98" s="8" t="s">
        <v>26</v>
      </c>
      <c r="F98" s="6" t="s">
        <v>15</v>
      </c>
      <c r="G98" s="3"/>
    </row>
    <row r="99" customFormat="false" ht="15" hidden="false" customHeight="true" outlineLevel="0" collapsed="false">
      <c r="A99" s="3" t="n">
        <v>98</v>
      </c>
      <c r="B99" s="3" t="n">
        <v>57</v>
      </c>
      <c r="C99" s="3" t="s">
        <v>121</v>
      </c>
      <c r="D99" s="3" t="s">
        <v>122</v>
      </c>
      <c r="E99" s="7" t="s">
        <v>18</v>
      </c>
      <c r="F99" s="6" t="s">
        <v>15</v>
      </c>
      <c r="G99" s="3"/>
    </row>
    <row r="100" customFormat="false" ht="15" hidden="false" customHeight="true" outlineLevel="0" collapsed="false">
      <c r="A100" s="3" t="n">
        <v>99</v>
      </c>
      <c r="B100" s="3" t="n">
        <v>56</v>
      </c>
      <c r="C100" s="3" t="s">
        <v>121</v>
      </c>
      <c r="D100" s="3" t="s">
        <v>123</v>
      </c>
      <c r="E100" s="7" t="s">
        <v>18</v>
      </c>
      <c r="F100" s="6" t="s">
        <v>15</v>
      </c>
      <c r="G100" s="3"/>
    </row>
    <row r="101" customFormat="false" ht="15" hidden="false" customHeight="true" outlineLevel="0" collapsed="false">
      <c r="A101" s="3" t="n">
        <v>100</v>
      </c>
      <c r="B101" s="3" t="n">
        <v>435</v>
      </c>
      <c r="C101" s="3" t="s">
        <v>121</v>
      </c>
      <c r="D101" s="3" t="s">
        <v>124</v>
      </c>
      <c r="E101" s="7" t="s">
        <v>18</v>
      </c>
      <c r="F101" s="6" t="s">
        <v>15</v>
      </c>
      <c r="G101" s="3"/>
    </row>
    <row r="102" customFormat="false" ht="15" hidden="false" customHeight="true" outlineLevel="0" collapsed="false">
      <c r="A102" s="3" t="n">
        <v>101</v>
      </c>
      <c r="B102" s="3" t="n">
        <v>191</v>
      </c>
      <c r="C102" s="3" t="s">
        <v>125</v>
      </c>
      <c r="D102" s="3" t="s">
        <v>126</v>
      </c>
      <c r="E102" s="4" t="s">
        <v>9</v>
      </c>
      <c r="F102" s="6" t="s">
        <v>15</v>
      </c>
      <c r="G102" s="3"/>
    </row>
    <row r="103" customFormat="false" ht="15" hidden="false" customHeight="true" outlineLevel="0" collapsed="false">
      <c r="A103" s="3" t="n">
        <v>102</v>
      </c>
      <c r="B103" s="3" t="n">
        <v>338</v>
      </c>
      <c r="C103" s="3" t="s">
        <v>125</v>
      </c>
      <c r="D103" s="3" t="s">
        <v>127</v>
      </c>
      <c r="E103" s="4" t="s">
        <v>9</v>
      </c>
      <c r="F103" s="6" t="s">
        <v>15</v>
      </c>
      <c r="G103" s="3"/>
    </row>
    <row r="104" customFormat="false" ht="15" hidden="false" customHeight="true" outlineLevel="0" collapsed="false">
      <c r="A104" s="3" t="n">
        <v>103</v>
      </c>
      <c r="B104" s="3" t="n">
        <v>268</v>
      </c>
      <c r="C104" s="3" t="s">
        <v>125</v>
      </c>
      <c r="D104" s="3" t="s">
        <v>128</v>
      </c>
      <c r="E104" s="4" t="s">
        <v>9</v>
      </c>
      <c r="F104" s="6" t="s">
        <v>15</v>
      </c>
      <c r="G104" s="3"/>
    </row>
    <row r="105" customFormat="false" ht="15" hidden="false" customHeight="true" outlineLevel="0" collapsed="false">
      <c r="A105" s="3" t="n">
        <v>104</v>
      </c>
      <c r="B105" s="3" t="n">
        <v>421</v>
      </c>
      <c r="C105" s="3" t="s">
        <v>125</v>
      </c>
      <c r="D105" s="3" t="s">
        <v>129</v>
      </c>
      <c r="E105" s="8" t="s">
        <v>26</v>
      </c>
      <c r="F105" s="6" t="s">
        <v>15</v>
      </c>
      <c r="G105" s="3"/>
    </row>
    <row r="106" customFormat="false" ht="15" hidden="false" customHeight="false" outlineLevel="0" collapsed="false">
      <c r="A106" s="3" t="n">
        <v>105</v>
      </c>
      <c r="B106" s="3" t="n">
        <v>3345</v>
      </c>
      <c r="C106" s="3" t="s">
        <v>130</v>
      </c>
      <c r="D106" s="3" t="s">
        <v>131</v>
      </c>
      <c r="E106" s="4" t="s">
        <v>9</v>
      </c>
      <c r="F106" s="5" t="s">
        <v>10</v>
      </c>
      <c r="G106" s="3"/>
    </row>
  </sheetData>
  <dataValidations count="1">
    <dataValidation allowBlank="false" errorStyle="stop" operator="between" showDropDown="false" showErrorMessage="false" showInputMessage="false" sqref="E2:E1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9" t="s">
        <v>132</v>
      </c>
      <c r="B1" s="9"/>
      <c r="C1" s="9"/>
    </row>
    <row r="3" customFormat="false" ht="15" hidden="false" customHeight="true" outlineLevel="0" collapsed="false">
      <c r="A3" s="10" t="s">
        <v>4</v>
      </c>
      <c r="B3" s="10" t="s">
        <v>5</v>
      </c>
      <c r="C3" s="10" t="s">
        <v>133</v>
      </c>
      <c r="D3" s="10" t="s">
        <v>134</v>
      </c>
    </row>
    <row r="4" customFormat="false" ht="15" hidden="false" customHeight="true" outlineLevel="0" collapsed="false">
      <c r="A4" s="11" t="s">
        <v>9</v>
      </c>
      <c r="B4" s="12" t="n">
        <f aca="false">COUNTIFS(Problems!E2:E106,"Easy",Problems!F2:F106,"Yes")</f>
        <v>7</v>
      </c>
      <c r="C4" s="12" t="n">
        <f aca="false">COUNTIF(Problems!E2:E106,"Easy")</f>
        <v>30</v>
      </c>
      <c r="D4" s="13" t="n">
        <f aca="false">IFERROR(B4/C4,0)</f>
        <v>0.233333333333333</v>
      </c>
    </row>
    <row r="5" customFormat="false" ht="15" hidden="false" customHeight="true" outlineLevel="0" collapsed="false">
      <c r="A5" s="11" t="s">
        <v>18</v>
      </c>
      <c r="B5" s="12" t="n">
        <f aca="false">COUNTIFS(Problems!E2:E106,"Medium",Problems!F2:F106,"Yes")</f>
        <v>3</v>
      </c>
      <c r="C5" s="12" t="n">
        <f aca="false">COUNTIF(Problems!E2:E106,"Medium")</f>
        <v>55</v>
      </c>
      <c r="D5" s="13" t="n">
        <f aca="false">IFERROR(B5/C5,0)</f>
        <v>0.0545454545454545</v>
      </c>
    </row>
    <row r="6" customFormat="false" ht="15" hidden="false" customHeight="true" outlineLevel="0" collapsed="false">
      <c r="A6" s="11" t="s">
        <v>26</v>
      </c>
      <c r="B6" s="12" t="n">
        <f aca="false">COUNTIFS(Problems!E2:E106,"Hard",Problems!F2:F106,"Yes")</f>
        <v>0</v>
      </c>
      <c r="C6" s="12" t="n">
        <f aca="false">COUNTIF(Problems!E2:E106,"Hard")</f>
        <v>20</v>
      </c>
      <c r="D6" s="13" t="n">
        <f aca="false">IFERROR(B6/C6,0)</f>
        <v>0</v>
      </c>
    </row>
    <row r="7" customFormat="false" ht="15" hidden="false" customHeight="true" outlineLevel="0" collapsed="false">
      <c r="A7" s="14" t="s">
        <v>133</v>
      </c>
      <c r="B7" s="15" t="n">
        <f aca="false">COUNTIF(Problems!F2:F106,"Yes")</f>
        <v>10</v>
      </c>
      <c r="C7" s="15" t="n">
        <f aca="false">COUNTA(Problems!D2:D106)</f>
        <v>105</v>
      </c>
      <c r="D7" s="16" t="n">
        <f aca="false">IFERROR(B7/C7,0)</f>
        <v>0.0952380952380952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2026-08-04T09:36:26Z</dcterms:created>
  <dc:creator>openpyxl</dc:creator>
  <dc:description/>
  <dc:language>en-US</dc:language>
  <cp:lastModifiedBy/>
  <dcterms:modified xsi:type="dcterms:W3CDTF">2026-08-06T08:12:32Z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